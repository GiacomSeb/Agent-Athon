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wncsp-my.sharepoint.com/personal/sebastian_lourenco_giacom_com/Documents/"/>
    </mc:Choice>
  </mc:AlternateContent>
  <xr:revisionPtr revIDLastSave="0" documentId="8_{72A032CC-4F26-4C22-991B-EBBFDD45D43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ales Data" sheetId="1" r:id="rId1"/>
    <sheet name="Dashboard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H14" i="2"/>
  <c r="D14" i="2"/>
  <c r="H13" i="2"/>
  <c r="D13" i="2"/>
  <c r="H12" i="2"/>
  <c r="D12" i="2"/>
  <c r="J6" i="2"/>
  <c r="F6" i="2"/>
  <c r="F15" i="1"/>
  <c r="F14" i="1"/>
  <c r="F13" i="1"/>
  <c r="F12" i="1"/>
  <c r="F11" i="1"/>
  <c r="F10" i="1"/>
  <c r="F9" i="1"/>
  <c r="F8" i="1"/>
  <c r="F7" i="1"/>
  <c r="F6" i="1"/>
  <c r="F5" i="1"/>
  <c r="F4" i="1"/>
  <c r="C14" i="2" s="1"/>
  <c r="F3" i="1"/>
  <c r="F2" i="1"/>
  <c r="G12" i="2" l="1"/>
  <c r="C12" i="2"/>
  <c r="N6" i="2"/>
  <c r="B6" i="2"/>
  <c r="G13" i="2"/>
  <c r="C13" i="2"/>
  <c r="C15" i="2"/>
  <c r="G14" i="2"/>
</calcChain>
</file>

<file path=xl/sharedStrings.xml><?xml version="1.0" encoding="utf-8"?>
<sst xmlns="http://schemas.openxmlformats.org/spreadsheetml/2006/main" count="63" uniqueCount="27">
  <si>
    <t>Date</t>
  </si>
  <si>
    <t>Region</t>
  </si>
  <si>
    <t>Product</t>
  </si>
  <si>
    <t>Units</t>
  </si>
  <si>
    <t>Unit Price</t>
  </si>
  <si>
    <t>Revenue</t>
  </si>
  <si>
    <t>How the agent updates this file</t>
  </si>
  <si>
    <t>North</t>
  </si>
  <si>
    <t>Product A</t>
  </si>
  <si>
    <t>Add new rows directly beneath the SalesData table (e.g. Power Automate</t>
  </si>
  <si>
    <t>South</t>
  </si>
  <si>
    <t>Product B</t>
  </si>
  <si>
    <t>'Add a row into a table' action, or Copilot Studio + Excel Online connector).</t>
  </si>
  <si>
    <t>East</t>
  </si>
  <si>
    <t>Revenue (F) is a formula = Units * Unit Price -- leave it as a formula.</t>
  </si>
  <si>
    <t>West</t>
  </si>
  <si>
    <t>Product C</t>
  </si>
  <si>
    <t>The Dashboard tab uses structured table references, so it updates</t>
  </si>
  <si>
    <t>automatically as soon as new rows are added -- no manual refresh needed.</t>
  </si>
  <si>
    <t>Sales Performance Dashboard</t>
  </si>
  <si>
    <t>Live view of the SalesData table -- updates automatically as rows are added</t>
  </si>
  <si>
    <t>Total Revenue</t>
  </si>
  <si>
    <t>Total Units Sold</t>
  </si>
  <si>
    <t>Number of Orders</t>
  </si>
  <si>
    <t>Avg Order Value</t>
  </si>
  <si>
    <t>Revenue by Region</t>
  </si>
  <si>
    <t>Revenue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</si>
</sst>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£#,##0.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sz val="11"/>
      <name val="Arial"/>
      <charset val="1"/>
    </font>
    <font>
      <i/>
      <sz val="9"/>
      <color rgb="FF666666"/>
      <name val="Arial"/>
      <charset val="1"/>
    </font>
    <font>
      <b/>
      <sz val="18"/>
      <color rgb="FF1F3864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6"/>
      <color rgb="FF1F3864"/>
      <name val="Arial"/>
      <charset val="1"/>
    </font>
    <font>
      <b/>
      <sz val="12"/>
      <color rgb="FF1F3864"/>
      <name val="Arial"/>
      <charset val="1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3" fillId="5" borderId="0" xfId="0" applyFont="1" applyFill="1"/>
    <xf numFmtId="165" fontId="3" fillId="5" borderId="0" xfId="0" applyNumberFormat="1" applyFont="1" applyFill="1"/>
    <xf numFmtId="3" fontId="3" fillId="5" borderId="0" xfId="0" applyNumberFormat="1" applyFont="1" applyFill="1"/>
    <xf numFmtId="0" fontId="3" fillId="6" borderId="0" xfId="0" applyFont="1" applyFill="1"/>
    <xf numFmtId="165" fontId="3" fillId="6" borderId="0" xfId="0" applyNumberFormat="1" applyFont="1" applyFill="1"/>
    <xf numFmtId="3" fontId="3" fillId="6" borderId="0" xfId="0" applyNumberFormat="1" applyFont="1" applyFill="1"/>
    <xf numFmtId="164" fontId="10" fillId="0" borderId="0" xfId="0" applyNumberFormat="1" applyFont="1"/>
    <xf numFmtId="0" fontId="10" fillId="0" borderId="0" xfId="0" applyFont="1"/>
    <xf numFmtId="165" fontId="10" fillId="0" borderId="0" xfId="0" applyNumberFormat="1" applyFont="1"/>
    <xf numFmtId="14" fontId="1" fillId="2" borderId="0" xfId="0" applyNumberFormat="1" applyFont="1" applyFill="1" applyAlignment="1">
      <alignment horizontal="center"/>
    </xf>
    <xf numFmtId="49" fontId="3" fillId="0" borderId="0" xfId="0" applyNumberFormat="1" applyFont="1"/>
    <xf numFmtId="2" fontId="1" fillId="2" borderId="0" xfId="0" applyNumberFormat="1" applyFont="1" applyFill="1" applyAlignment="1">
      <alignment horizontal="center"/>
    </xf>
    <xf numFmtId="49" fontId="10" fillId="0" borderId="0" xfId="0" applyNumberFormat="1" applyFont="1"/>
    <xf numFmtId="0" fontId="7" fillId="3" borderId="1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78787"/>
      <rgbColor rgb="FF9999FF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Dashboard!$C$12:$C$15</c:f>
              <c:numCache>
                <c:formatCode>\£#,##0.00</c:formatCode>
                <c:ptCount val="4"/>
                <c:pt idx="0">
                  <c:v>2400</c:v>
                </c:pt>
                <c:pt idx="1">
                  <c:v>2700</c:v>
                </c:pt>
                <c:pt idx="2">
                  <c:v>2425</c:v>
                </c:pt>
                <c:pt idx="3">
                  <c:v>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E-40DC-BD12-EC181A0C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81218"/>
        <c:axId val="56088335"/>
      </c:barChart>
      <c:catAx>
        <c:axId val="28281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088335"/>
        <c:crosses val="autoZero"/>
        <c:auto val="1"/>
        <c:lblAlgn val="ctr"/>
        <c:lblOffset val="100"/>
        <c:noMultiLvlLbl val="0"/>
      </c:catAx>
      <c:valAx>
        <c:axId val="56088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281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Dashboard!$F$12:$F$14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Dashboard!$G$12:$G$14</c:f>
              <c:numCache>
                <c:formatCode>\£#,##0.00</c:formatCode>
                <c:ptCount val="3"/>
                <c:pt idx="0">
                  <c:v>3700</c:v>
                </c:pt>
                <c:pt idx="1">
                  <c:v>3360</c:v>
                </c:pt>
                <c:pt idx="2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A-4DBA-B540-97CAFB47A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53603"/>
        <c:axId val="63404031"/>
      </c:barChart>
      <c:catAx>
        <c:axId val="905536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04031"/>
        <c:crosses val="autoZero"/>
        <c:auto val="1"/>
        <c:lblAlgn val="ctr"/>
        <c:lblOffset val="100"/>
        <c:noMultiLvlLbl val="0"/>
      </c:catAx>
      <c:valAx>
        <c:axId val="63404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53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100800</xdr:rowOff>
    </xdr:from>
    <xdr:to>
      <xdr:col>9</xdr:col>
      <xdr:colOff>120960</xdr:colOff>
      <xdr:row>34</xdr:row>
      <xdr:rowOff>102240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35</xdr:row>
      <xdr:rowOff>100800</xdr:rowOff>
    </xdr:from>
    <xdr:to>
      <xdr:col>9</xdr:col>
      <xdr:colOff>120960</xdr:colOff>
      <xdr:row>52</xdr:row>
      <xdr:rowOff>102240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F16" totalsRowShown="0">
  <autoFilter ref="A1:F16" xr:uid="{00000000-0009-0000-0100-000001000000}"/>
  <tableColumns count="6">
    <tableColumn id="1" xr3:uid="{00000000-0010-0000-0000-000001000000}" name="Date"/>
    <tableColumn id="2" xr3:uid="{00000000-0010-0000-0000-000002000000}" name="Region"/>
    <tableColumn id="3" xr3:uid="{00000000-0010-0000-0000-000003000000}" name="Product" dataDxfId="0"/>
    <tableColumn id="4" xr3:uid="{00000000-0010-0000-0000-000004000000}" name="Units"/>
    <tableColumn id="5" xr3:uid="{00000000-0010-0000-0000-000005000000}" name="Unit Price"/>
    <tableColumn id="6" xr3:uid="{00000000-0010-0000-0000-000006000000}" name="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pane ySplit="1" topLeftCell="A2" activePane="bottomLeft" state="frozen"/>
      <selection pane="bottomLeft" activeCell="H17" sqref="H17"/>
    </sheetView>
  </sheetViews>
  <sheetFormatPr defaultColWidth="8.6640625" defaultRowHeight="14.4" x14ac:dyDescent="0.3"/>
  <cols>
    <col min="1" max="2" width="12" customWidth="1"/>
    <col min="3" max="3" width="14" customWidth="1"/>
    <col min="4" max="4" width="8" customWidth="1"/>
    <col min="5" max="6" width="12" customWidth="1"/>
  </cols>
  <sheetData>
    <row r="1" spans="1:8" x14ac:dyDescent="0.3">
      <c r="A1" s="19" t="s">
        <v>0</v>
      </c>
      <c r="B1" s="1" t="s">
        <v>1</v>
      </c>
      <c r="C1" s="1" t="s">
        <v>2</v>
      </c>
      <c r="D1" s="21" t="s">
        <v>3</v>
      </c>
      <c r="E1" s="21" t="s">
        <v>4</v>
      </c>
      <c r="F1" s="21" t="s">
        <v>5</v>
      </c>
      <c r="H1" s="2" t="s">
        <v>6</v>
      </c>
    </row>
    <row r="2" spans="1:8" x14ac:dyDescent="0.3">
      <c r="A2" s="3">
        <v>46204</v>
      </c>
      <c r="B2" s="4" t="s">
        <v>7</v>
      </c>
      <c r="C2" s="20" t="s">
        <v>8</v>
      </c>
      <c r="D2" s="4">
        <v>12</v>
      </c>
      <c r="E2" s="5">
        <v>45</v>
      </c>
      <c r="F2" s="5">
        <f t="shared" ref="F2:F15" si="0">D2*E2</f>
        <v>540</v>
      </c>
      <c r="H2" s="6" t="s">
        <v>9</v>
      </c>
    </row>
    <row r="3" spans="1:8" x14ac:dyDescent="0.3">
      <c r="A3" s="3">
        <v>46205</v>
      </c>
      <c r="B3" s="4" t="s">
        <v>10</v>
      </c>
      <c r="C3" s="20" t="s">
        <v>11</v>
      </c>
      <c r="D3" s="4">
        <v>8</v>
      </c>
      <c r="E3" s="5">
        <v>60</v>
      </c>
      <c r="F3" s="5">
        <f t="shared" si="0"/>
        <v>480</v>
      </c>
      <c r="H3" s="6" t="s">
        <v>12</v>
      </c>
    </row>
    <row r="4" spans="1:8" x14ac:dyDescent="0.3">
      <c r="A4" s="3">
        <v>46206</v>
      </c>
      <c r="B4" s="4" t="s">
        <v>13</v>
      </c>
      <c r="C4" s="20" t="s">
        <v>8</v>
      </c>
      <c r="D4" s="4">
        <v>15</v>
      </c>
      <c r="E4" s="5">
        <v>45</v>
      </c>
      <c r="F4" s="5">
        <f t="shared" si="0"/>
        <v>675</v>
      </c>
      <c r="H4" s="6" t="s">
        <v>14</v>
      </c>
    </row>
    <row r="5" spans="1:8" x14ac:dyDescent="0.3">
      <c r="A5" s="3">
        <v>46207</v>
      </c>
      <c r="B5" s="4" t="s">
        <v>15</v>
      </c>
      <c r="C5" s="20" t="s">
        <v>16</v>
      </c>
      <c r="D5" s="4">
        <v>5</v>
      </c>
      <c r="E5" s="5">
        <v>90</v>
      </c>
      <c r="F5" s="5">
        <f t="shared" si="0"/>
        <v>450</v>
      </c>
      <c r="H5" s="6" t="s">
        <v>17</v>
      </c>
    </row>
    <row r="6" spans="1:8" x14ac:dyDescent="0.3">
      <c r="A6" s="3">
        <v>46209</v>
      </c>
      <c r="B6" s="4" t="s">
        <v>7</v>
      </c>
      <c r="C6" s="20" t="s">
        <v>11</v>
      </c>
      <c r="D6" s="4">
        <v>10</v>
      </c>
      <c r="E6" s="5">
        <v>60</v>
      </c>
      <c r="F6" s="5">
        <f t="shared" si="0"/>
        <v>600</v>
      </c>
      <c r="H6" s="6" t="s">
        <v>18</v>
      </c>
    </row>
    <row r="7" spans="1:8" x14ac:dyDescent="0.3">
      <c r="A7" s="3">
        <v>46210</v>
      </c>
      <c r="B7" s="4" t="s">
        <v>10</v>
      </c>
      <c r="C7" s="20" t="s">
        <v>16</v>
      </c>
      <c r="D7" s="4">
        <v>7</v>
      </c>
      <c r="E7" s="5">
        <v>90</v>
      </c>
      <c r="F7" s="5">
        <f t="shared" si="0"/>
        <v>630</v>
      </c>
    </row>
    <row r="8" spans="1:8" x14ac:dyDescent="0.3">
      <c r="A8" s="3">
        <v>46211</v>
      </c>
      <c r="B8" s="4" t="s">
        <v>13</v>
      </c>
      <c r="C8" s="20" t="s">
        <v>11</v>
      </c>
      <c r="D8" s="4">
        <v>14</v>
      </c>
      <c r="E8" s="5">
        <v>60</v>
      </c>
      <c r="F8" s="5">
        <f t="shared" si="0"/>
        <v>840</v>
      </c>
    </row>
    <row r="9" spans="1:8" x14ac:dyDescent="0.3">
      <c r="A9" s="3">
        <v>46212</v>
      </c>
      <c r="B9" s="4" t="s">
        <v>15</v>
      </c>
      <c r="C9" s="20" t="s">
        <v>8</v>
      </c>
      <c r="D9" s="4">
        <v>9</v>
      </c>
      <c r="E9" s="5">
        <v>45</v>
      </c>
      <c r="F9" s="5">
        <f t="shared" si="0"/>
        <v>405</v>
      </c>
    </row>
    <row r="10" spans="1:8" x14ac:dyDescent="0.3">
      <c r="A10" s="3">
        <v>46214</v>
      </c>
      <c r="B10" s="4" t="s">
        <v>7</v>
      </c>
      <c r="C10" s="20" t="s">
        <v>16</v>
      </c>
      <c r="D10" s="4">
        <v>6</v>
      </c>
      <c r="E10" s="5">
        <v>90</v>
      </c>
      <c r="F10" s="5">
        <f t="shared" si="0"/>
        <v>540</v>
      </c>
    </row>
    <row r="11" spans="1:8" x14ac:dyDescent="0.3">
      <c r="A11" s="3">
        <v>46215</v>
      </c>
      <c r="B11" s="4" t="s">
        <v>10</v>
      </c>
      <c r="C11" s="20" t="s">
        <v>8</v>
      </c>
      <c r="D11" s="4">
        <v>18</v>
      </c>
      <c r="E11" s="5">
        <v>45</v>
      </c>
      <c r="F11" s="5">
        <f t="shared" si="0"/>
        <v>810</v>
      </c>
    </row>
    <row r="12" spans="1:8" x14ac:dyDescent="0.3">
      <c r="A12" s="3">
        <v>46216</v>
      </c>
      <c r="B12" s="4" t="s">
        <v>13</v>
      </c>
      <c r="C12" s="20" t="s">
        <v>16</v>
      </c>
      <c r="D12" s="4">
        <v>4</v>
      </c>
      <c r="E12" s="5">
        <v>90</v>
      </c>
      <c r="F12" s="5">
        <f t="shared" si="0"/>
        <v>360</v>
      </c>
    </row>
    <row r="13" spans="1:8" x14ac:dyDescent="0.3">
      <c r="A13" s="3">
        <v>46217</v>
      </c>
      <c r="B13" s="4" t="s">
        <v>15</v>
      </c>
      <c r="C13" s="20" t="s">
        <v>11</v>
      </c>
      <c r="D13" s="4">
        <v>11</v>
      </c>
      <c r="E13" s="5">
        <v>60</v>
      </c>
      <c r="F13" s="5">
        <f t="shared" si="0"/>
        <v>660</v>
      </c>
    </row>
    <row r="14" spans="1:8" x14ac:dyDescent="0.3">
      <c r="A14" s="3">
        <v>46218</v>
      </c>
      <c r="B14" s="4" t="s">
        <v>7</v>
      </c>
      <c r="C14" s="20" t="s">
        <v>8</v>
      </c>
      <c r="D14" s="4">
        <v>16</v>
      </c>
      <c r="E14" s="5">
        <v>45</v>
      </c>
      <c r="F14" s="5">
        <f t="shared" si="0"/>
        <v>720</v>
      </c>
    </row>
    <row r="15" spans="1:8" x14ac:dyDescent="0.3">
      <c r="A15" s="3">
        <v>46219</v>
      </c>
      <c r="B15" s="4" t="s">
        <v>10</v>
      </c>
      <c r="C15" s="20" t="s">
        <v>11</v>
      </c>
      <c r="D15" s="4">
        <v>13</v>
      </c>
      <c r="E15" s="5">
        <v>60</v>
      </c>
      <c r="F15" s="5">
        <f t="shared" si="0"/>
        <v>780</v>
      </c>
    </row>
    <row r="16" spans="1:8" x14ac:dyDescent="0.3">
      <c r="A16" s="3">
        <v>46221</v>
      </c>
      <c r="B16" s="4" t="s">
        <v>13</v>
      </c>
      <c r="C16" s="20" t="s">
        <v>8</v>
      </c>
      <c r="D16" s="4">
        <v>10</v>
      </c>
      <c r="E16" s="5">
        <v>45</v>
      </c>
      <c r="F16" s="5">
        <v>550</v>
      </c>
    </row>
    <row r="17" spans="1:6" x14ac:dyDescent="0.3">
      <c r="A17" s="16"/>
      <c r="B17" s="17"/>
      <c r="C17" s="22"/>
      <c r="D17" s="17"/>
      <c r="E17" s="18"/>
      <c r="F17" s="18"/>
    </row>
    <row r="18" spans="1:6" x14ac:dyDescent="0.3">
      <c r="A18" s="16"/>
      <c r="B18" s="17"/>
      <c r="C18" s="22"/>
      <c r="D18" s="17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6"/>
      <c r="B20" s="17"/>
      <c r="C20" s="17"/>
      <c r="D20" s="17"/>
      <c r="E20" s="18"/>
      <c r="F20" s="18"/>
    </row>
    <row r="21" spans="1:6" x14ac:dyDescent="0.3">
      <c r="A21" s="16"/>
      <c r="B21" s="17"/>
      <c r="C21" s="17"/>
      <c r="D21" s="17"/>
      <c r="E21" s="18"/>
      <c r="F21" s="18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5"/>
  <sheetViews>
    <sheetView showGridLines="0" zoomScaleNormal="100" workbookViewId="0"/>
  </sheetViews>
  <sheetFormatPr defaultColWidth="8.6640625" defaultRowHeight="14.4" x14ac:dyDescent="0.3"/>
  <cols>
    <col min="2" max="2" width="14" customWidth="1"/>
    <col min="3" max="3" width="12" customWidth="1"/>
    <col min="4" max="4" width="10" customWidth="1"/>
    <col min="5" max="5" width="4" customWidth="1"/>
    <col min="6" max="6" width="14" customWidth="1"/>
    <col min="7" max="7" width="12" customWidth="1"/>
    <col min="8" max="8" width="10" customWidth="1"/>
    <col min="9" max="9" width="4" customWidth="1"/>
    <col min="10" max="10" width="14" customWidth="1"/>
    <col min="11" max="11" width="12" customWidth="1"/>
    <col min="12" max="12" width="10" customWidth="1"/>
    <col min="13" max="13" width="4" customWidth="1"/>
    <col min="14" max="14" width="14" customWidth="1"/>
    <col min="15" max="15" width="12" customWidth="1"/>
    <col min="16" max="16" width="10" customWidth="1"/>
  </cols>
  <sheetData>
    <row r="2" spans="2:16" ht="22.8" x14ac:dyDescent="0.4">
      <c r="B2" s="7" t="s">
        <v>19</v>
      </c>
    </row>
    <row r="3" spans="2:16" x14ac:dyDescent="0.3">
      <c r="B3" s="8" t="s">
        <v>20</v>
      </c>
    </row>
    <row r="5" spans="2:16" x14ac:dyDescent="0.3">
      <c r="B5" s="23" t="s">
        <v>21</v>
      </c>
      <c r="C5" s="23"/>
      <c r="D5" s="23"/>
      <c r="F5" s="23" t="s">
        <v>22</v>
      </c>
      <c r="G5" s="23"/>
      <c r="H5" s="23"/>
      <c r="J5" s="23" t="s">
        <v>23</v>
      </c>
      <c r="K5" s="23"/>
      <c r="L5" s="23"/>
      <c r="N5" s="23" t="s">
        <v>24</v>
      </c>
      <c r="O5" s="23"/>
      <c r="P5" s="23"/>
    </row>
    <row r="6" spans="2:16" x14ac:dyDescent="0.3">
      <c r="B6" s="24">
        <f>SUM(SalesData[Revenue])</f>
        <v>9040</v>
      </c>
      <c r="C6" s="24"/>
      <c r="D6" s="24"/>
      <c r="F6" s="25">
        <f>SUM(SalesData[Units])</f>
        <v>158</v>
      </c>
      <c r="G6" s="25"/>
      <c r="H6" s="25"/>
      <c r="J6" s="25">
        <f>SUBTOTAL(103,SalesData[Date])</f>
        <v>15</v>
      </c>
      <c r="K6" s="25"/>
      <c r="L6" s="25"/>
      <c r="N6" s="24">
        <f>SUM(SalesData[Revenue])/SUBTOTAL(103,SalesData[Date])</f>
        <v>602.66666666666663</v>
      </c>
      <c r="O6" s="24"/>
      <c r="P6" s="24"/>
    </row>
    <row r="7" spans="2:16" x14ac:dyDescent="0.3">
      <c r="B7" s="24"/>
      <c r="C7" s="24"/>
      <c r="D7" s="24"/>
      <c r="F7" s="25"/>
      <c r="G7" s="25"/>
      <c r="H7" s="25"/>
      <c r="J7" s="25"/>
      <c r="K7" s="25"/>
      <c r="L7" s="25"/>
      <c r="N7" s="24"/>
      <c r="O7" s="24"/>
      <c r="P7" s="24"/>
    </row>
    <row r="10" spans="2:16" ht="15.6" x14ac:dyDescent="0.3">
      <c r="B10" s="9" t="s">
        <v>25</v>
      </c>
      <c r="F10" s="9" t="s">
        <v>26</v>
      </c>
    </row>
    <row r="11" spans="2:16" x14ac:dyDescent="0.3">
      <c r="B11" s="1" t="s">
        <v>1</v>
      </c>
      <c r="C11" s="1" t="s">
        <v>5</v>
      </c>
      <c r="D11" s="1" t="s">
        <v>3</v>
      </c>
      <c r="F11" s="1" t="s">
        <v>2</v>
      </c>
      <c r="G11" s="1" t="s">
        <v>5</v>
      </c>
      <c r="H11" s="1" t="s">
        <v>3</v>
      </c>
    </row>
    <row r="12" spans="2:16" x14ac:dyDescent="0.3">
      <c r="B12" s="10" t="s">
        <v>7</v>
      </c>
      <c r="C12" s="11">
        <f>SUMIFS(SalesData[Revenue],SalesData[Region],B12)</f>
        <v>2400</v>
      </c>
      <c r="D12" s="12">
        <f>SUMIFS(SalesData[Units],SalesData[Region],B12)</f>
        <v>44</v>
      </c>
      <c r="F12" s="10" t="s">
        <v>8</v>
      </c>
      <c r="G12" s="11">
        <f>SUMIFS(SalesData[Revenue],SalesData[Product],F12)</f>
        <v>3700</v>
      </c>
      <c r="H12" s="12">
        <f>SUMIFS(SalesData[Units],SalesData[Product],F12)</f>
        <v>80</v>
      </c>
    </row>
    <row r="13" spans="2:16" x14ac:dyDescent="0.3">
      <c r="B13" s="13" t="s">
        <v>10</v>
      </c>
      <c r="C13" s="14">
        <f>SUMIFS(SalesData[Revenue],SalesData[Region],B13)</f>
        <v>2700</v>
      </c>
      <c r="D13" s="15">
        <f>SUMIFS(SalesData[Units],SalesData[Region],B13)</f>
        <v>46</v>
      </c>
      <c r="F13" s="13" t="s">
        <v>11</v>
      </c>
      <c r="G13" s="14">
        <f>SUMIFS(SalesData[Revenue],SalesData[Product],F13)</f>
        <v>3360</v>
      </c>
      <c r="H13" s="15">
        <f>SUMIFS(SalesData[Units],SalesData[Product],F13)</f>
        <v>56</v>
      </c>
    </row>
    <row r="14" spans="2:16" x14ac:dyDescent="0.3">
      <c r="B14" s="10" t="s">
        <v>13</v>
      </c>
      <c r="C14" s="11">
        <f>SUMIFS(SalesData[Revenue],SalesData[Region],B14)</f>
        <v>2425</v>
      </c>
      <c r="D14" s="12">
        <f>SUMIFS(SalesData[Units],SalesData[Region],B14)</f>
        <v>43</v>
      </c>
      <c r="F14" s="10" t="s">
        <v>16</v>
      </c>
      <c r="G14" s="11">
        <f>SUMIFS(SalesData[Revenue],SalesData[Product],F14)</f>
        <v>1980</v>
      </c>
      <c r="H14" s="12">
        <f>SUMIFS(SalesData[Units],SalesData[Product],F14)</f>
        <v>22</v>
      </c>
    </row>
    <row r="15" spans="2:16" x14ac:dyDescent="0.3">
      <c r="B15" s="13" t="s">
        <v>15</v>
      </c>
      <c r="C15" s="14">
        <f>SUMIFS(SalesData[Revenue],SalesData[Region],B15)</f>
        <v>1515</v>
      </c>
      <c r="D15" s="15">
        <f>SUMIFS(SalesData[Units],SalesData[Region],B15)</f>
        <v>25</v>
      </c>
    </row>
  </sheetData>
  <mergeCells count="8">
    <mergeCell ref="B5:D5"/>
    <mergeCell ref="F5:H5"/>
    <mergeCell ref="J5:L5"/>
    <mergeCell ref="N5:P5"/>
    <mergeCell ref="B6:D7"/>
    <mergeCell ref="F6:H7"/>
    <mergeCell ref="J6:L7"/>
    <mergeCell ref="N6:P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14D855FB412F489420C3ABB347DF3D" ma:contentTypeVersion="3" ma:contentTypeDescription="Create a new document." ma:contentTypeScope="" ma:versionID="72d5a3ddea8250a0dd945d4b7120dbe8">
  <xsd:schema xmlns:xsd="http://www.w3.org/2001/XMLSchema" xmlns:xs="http://www.w3.org/2001/XMLSchema" xmlns:p="http://schemas.microsoft.com/office/2006/metadata/properties" xmlns:ns2="0cdf847c-766a-41e2-8d5c-f0196d2284a6" targetNamespace="http://schemas.microsoft.com/office/2006/metadata/properties" ma:root="true" ma:fieldsID="deac3bc812248a42bb1f35bc9b39b714" ns2:_="">
    <xsd:import namespace="0cdf847c-766a-41e2-8d5c-f0196d22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f847c-766a-41e2-8d5c-f0196d2284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4D82E3-2689-4622-9A66-D3E11444DD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8B1D75-C799-4AEA-9228-370251A094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C63F8A-7946-4EE8-AF0E-C9D36E116C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f847c-766a-41e2-8d5c-f0196d22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8778b16a-1b11-4d6c-a903-3ac8307028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Sebastian Lourenco</cp:lastModifiedBy>
  <cp:revision>1</cp:revision>
  <dcterms:created xsi:type="dcterms:W3CDTF">2026-09-18T12:18:29Z</dcterms:created>
  <dcterms:modified xsi:type="dcterms:W3CDTF">2026-09-23T07:35:56Z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0x010100C814D855FB412F489420C3ABB347DF3D</vt:lpwstr>
  </property>
</Properties>
</file>